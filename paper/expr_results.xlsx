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/>
  <mc:AlternateContent xmlns:mc="http://schemas.openxmlformats.org/markup-compatibility/2006">
    <mc:Choice Requires="x15">
      <x15ac:absPath xmlns:x15ac="http://schemas.microsoft.com/office/spreadsheetml/2010/11/ac" url="/Users/hondor/Documents/GitHub/CAFES/paper/"/>
    </mc:Choice>
  </mc:AlternateContent>
  <xr:revisionPtr revIDLastSave="0" documentId="13_ncr:1_{BA96B082-4C14-E34F-BDA6-8C6B9BA2C3C8}" xr6:coauthVersionLast="47" xr6:coauthVersionMax="47" xr10:uidLastSave="{00000000-0000-0000-0000-000000000000}"/>
  <bookViews>
    <workbookView xWindow="0" yWindow="500" windowWidth="38400" windowHeight="19400" activeTab="2" xr2:uid="{00000000-000D-0000-FFFF-FFFF00000000}"/>
  </bookViews>
  <sheets>
    <sheet name="Table 1" sheetId="1" r:id="rId1"/>
    <sheet name="Table 2" sheetId="8" r:id="rId2"/>
    <sheet name="Table 3" sheetId="9" r:id="rId3"/>
    <sheet name="Sheet2" sheetId="2" state="hidden" r:id="rId4"/>
    <sheet name="expr1 raw OPT2" sheetId="4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I13" i="1"/>
  <c r="F13" i="1"/>
  <c r="C13" i="1"/>
  <c r="L14" i="4"/>
  <c r="K14" i="4"/>
  <c r="I14" i="4"/>
  <c r="H14" i="4"/>
  <c r="F14" i="4"/>
  <c r="E14" i="4"/>
  <c r="C14" i="4"/>
  <c r="B14" i="4"/>
  <c r="H13" i="1"/>
  <c r="E13" i="1"/>
  <c r="K13" i="1"/>
  <c r="B13" i="1"/>
</calcChain>
</file>

<file path=xl/sharedStrings.xml><?xml version="1.0" encoding="utf-8"?>
<sst xmlns="http://schemas.openxmlformats.org/spreadsheetml/2006/main" count="207" uniqueCount="54">
  <si>
    <t>Table 1. The accuracy, precision, recall and F1-score of Readcurrent and CAFES.</t>
  </si>
  <si>
    <t>Accuracy</t>
  </si>
  <si>
    <t>Precision</t>
  </si>
  <si>
    <t>Recall</t>
  </si>
  <si>
    <t>F1-score</t>
  </si>
  <si>
    <t>Dataset</t>
  </si>
  <si>
    <t>ReadCurrent</t>
  </si>
  <si>
    <t>Readcurrent_OPT2</t>
  </si>
  <si>
    <t>CAFES</t>
  </si>
  <si>
    <t>Yeast vs Chlamy</t>
  </si>
  <si>
    <t>Yeast vs SARS-COV-2</t>
  </si>
  <si>
    <t>Bacterial vs SARS-COV-2</t>
  </si>
  <si>
    <t>Chlamy vs SARS-COV-2</t>
  </si>
  <si>
    <t>Bacterial vs Chlamy</t>
  </si>
  <si>
    <t>Yeast vs Human</t>
  </si>
  <si>
    <t>Bacterial vs Human</t>
  </si>
  <si>
    <t>SARS-COV-2 vs Human</t>
  </si>
  <si>
    <t>Chlamy vs Human</t>
  </si>
  <si>
    <t>Avg</t>
  </si>
  <si>
    <t>Table 2. The accuracy, precision, recall and F1-score of Readcurrent and CAFES, training and tesing on different Yeast and Ecoli samples.</t>
  </si>
  <si>
    <t>EcoliR10.4.1+HG001R1041_1(train),EcoliR10.4+HG001R1041_2(test)</t>
  </si>
  <si>
    <t>EcoliR10.4+HG001R1041_2(train),EcoliR10.4.1+HG001R1041_1(test)</t>
  </si>
  <si>
    <t>EcoliR10.4.1+HG001R1041_1(train),EcoliR10.4+HG002R1041_1(test)</t>
  </si>
  <si>
    <t>EcoliR10.4+HG002R1041_1(train),EcoliR10.4.1+HG001R1041_1(test)</t>
  </si>
  <si>
    <t>EcoliR10.4.1+HG001R1041_1(train),EcoliR10.4+HG005R1041_1(test)</t>
  </si>
  <si>
    <t>EcoliR10.4+HG005R1041_1(train),EcoliR10.4.1+HG001R1041_1(test)</t>
  </si>
  <si>
    <t>Table 3. The accuracy, precision, recall and F1-score of Readcurrent and CAFES, training and tesing on different Human and Melanogaster(260bps/400bps) samples.</t>
  </si>
  <si>
    <t>melanogasterR10.4.1_260bps_1+HG001R1041_1(train),melanogasterR10.4.1_260bps_2+HG001R1041_2(test)</t>
  </si>
  <si>
    <t>melanogasterR10.4.1_260bps_2+HG001R1041_2(train),melanogasterR10.4.1_260bps_1+HG001R1041_1(test)</t>
  </si>
  <si>
    <t>melanogasterR10.4.1_260bps_1+HG001R1041_1(train),melanogasterR10.4.1_400bps_1+HG001R1041_2(test)</t>
  </si>
  <si>
    <t>melanogasterR10.4.1_400bps_1+HG001R1041_2(train),melanogasterR10.4.1_260bps_1+HG001R1041_1(test)</t>
  </si>
  <si>
    <t>　</t>
  </si>
  <si>
    <t>F1 Score</t>
  </si>
  <si>
    <t>NanoDeep</t>
  </si>
  <si>
    <t>DeepSelectNet</t>
  </si>
  <si>
    <t>BNLSTM</t>
  </si>
  <si>
    <t>SquiggleNet</t>
  </si>
  <si>
    <t>Home-made</t>
  </si>
  <si>
    <t>Microbiome vs Human</t>
  </si>
  <si>
    <t>SARS-CoV-2 vs Human</t>
  </si>
  <si>
    <t>Microbiome vs SARS-CoV-2</t>
  </si>
  <si>
    <t>Yeast vs SARS-CoV-2</t>
  </si>
  <si>
    <t>Public</t>
  </si>
  <si>
    <t>Yeast vs C. reinhardtii</t>
  </si>
  <si>
    <t>C. reinhardtii vs SARS-CoV-2</t>
  </si>
  <si>
    <t>Microbiome vs C. reinhardtii</t>
  </si>
  <si>
    <t>Median</t>
  </si>
  <si>
    <t>Mean</t>
  </si>
  <si>
    <t>Standard Deviation</t>
  </si>
  <si>
    <t>Yeast vs Ecoli-R94</t>
  </si>
  <si>
    <t>Yeast vs Ecoli-R104</t>
  </si>
  <si>
    <t>precision</t>
    <phoneticPr fontId="5" type="noConversion"/>
  </si>
  <si>
    <t>recall</t>
    <phoneticPr fontId="5" type="noConversion"/>
  </si>
  <si>
    <t>f1-score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</si>
</sst>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2"/>
      <color rgb="FF1F2329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  <xf numFmtId="0" fontId="3" fillId="0" borderId="3" xfId="0" applyFont="1" applyBorder="1"/>
    <xf numFmtId="0" fontId="1" fillId="0" borderId="2" xfId="0" applyFont="1" applyBorder="1"/>
    <xf numFmtId="0" fontId="0" fillId="0" borderId="2" xfId="0" applyBorder="1"/>
    <xf numFmtId="2" fontId="0" fillId="0" borderId="2" xfId="0" applyNumberForma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/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workbookViewId="0">
      <selection activeCell="H11" sqref="H11"/>
    </sheetView>
  </sheetViews>
  <sheetFormatPr baseColWidth="10" defaultColWidth="8.83203125" defaultRowHeight="15"/>
  <cols>
    <col min="1" max="1" width="24" customWidth="1"/>
    <col min="2" max="3" width="15.83203125" customWidth="1"/>
    <col min="4" max="4" width="18.1640625" customWidth="1"/>
    <col min="5" max="5" width="24.33203125" customWidth="1"/>
    <col min="7" max="7" width="14.1640625" customWidth="1"/>
    <col min="8" max="8" width="15.6640625" customWidth="1"/>
    <col min="9" max="9" width="17.33203125" customWidth="1"/>
    <col min="10" max="10" width="23.6640625" customWidth="1"/>
    <col min="12" max="12" width="17.1640625" customWidth="1"/>
    <col min="13" max="13" width="15.5" customWidth="1"/>
    <col min="14" max="14" width="17" customWidth="1"/>
    <col min="15" max="15" width="24.6640625" customWidth="1"/>
    <col min="16" max="16" width="8.5" customWidth="1"/>
    <col min="17" max="17" width="14.6640625" customWidth="1"/>
    <col min="18" max="18" width="16" customWidth="1"/>
    <col min="19" max="19" width="17.5" customWidth="1"/>
    <col min="20" max="20" width="25.1640625" customWidth="1"/>
  </cols>
  <sheetData>
    <row r="1" spans="1:19" ht="18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9">
      <c r="B2" s="12" t="s">
        <v>1</v>
      </c>
      <c r="C2" s="12"/>
      <c r="D2" s="21"/>
      <c r="E2" s="12" t="s">
        <v>51</v>
      </c>
      <c r="F2" s="12"/>
      <c r="G2" s="21"/>
      <c r="H2" s="12" t="s">
        <v>52</v>
      </c>
      <c r="I2" s="12"/>
      <c r="J2" s="11"/>
      <c r="K2" s="12" t="s">
        <v>53</v>
      </c>
      <c r="L2" s="12"/>
      <c r="M2" s="21"/>
      <c r="N2" s="21"/>
      <c r="O2" s="11"/>
      <c r="Q2" s="21"/>
      <c r="R2" s="21"/>
      <c r="S2" s="21"/>
    </row>
    <row r="3" spans="1:19">
      <c r="A3" s="2" t="s">
        <v>5</v>
      </c>
      <c r="B3" s="2" t="s">
        <v>6</v>
      </c>
      <c r="C3" s="2" t="s">
        <v>8</v>
      </c>
      <c r="D3" s="2"/>
      <c r="E3" s="2" t="s">
        <v>6</v>
      </c>
      <c r="F3" s="2" t="s">
        <v>8</v>
      </c>
      <c r="G3" s="2"/>
      <c r="H3" s="2" t="s">
        <v>6</v>
      </c>
      <c r="I3" s="2" t="s">
        <v>8</v>
      </c>
      <c r="J3" s="2"/>
      <c r="K3" s="2" t="s">
        <v>6</v>
      </c>
      <c r="L3" s="2" t="s">
        <v>8</v>
      </c>
    </row>
    <row r="4" spans="1:19">
      <c r="A4" s="2" t="s">
        <v>9</v>
      </c>
      <c r="B4">
        <v>99.62</v>
      </c>
      <c r="C4">
        <v>99.93</v>
      </c>
      <c r="E4">
        <v>99.64</v>
      </c>
      <c r="F4" s="1">
        <v>99.95</v>
      </c>
      <c r="H4" s="1">
        <v>99.6</v>
      </c>
      <c r="I4">
        <v>99.91</v>
      </c>
      <c r="K4">
        <v>99.62</v>
      </c>
      <c r="L4">
        <v>99.93</v>
      </c>
    </row>
    <row r="5" spans="1:19">
      <c r="A5" s="2" t="s">
        <v>10</v>
      </c>
      <c r="B5">
        <v>96.13</v>
      </c>
      <c r="C5">
        <v>97.89</v>
      </c>
      <c r="E5" s="1">
        <v>96.8</v>
      </c>
      <c r="F5" s="1">
        <v>97.74</v>
      </c>
      <c r="H5" s="1">
        <v>95.41</v>
      </c>
      <c r="I5" s="1">
        <v>98.04</v>
      </c>
      <c r="K5" s="1">
        <v>96.1</v>
      </c>
      <c r="L5">
        <v>97.89</v>
      </c>
    </row>
    <row r="6" spans="1:19">
      <c r="A6" s="2" t="s">
        <v>11</v>
      </c>
      <c r="B6">
        <v>95.87</v>
      </c>
      <c r="C6">
        <v>98.89</v>
      </c>
      <c r="E6" s="1">
        <v>96.6</v>
      </c>
      <c r="F6" s="1">
        <v>98.59</v>
      </c>
      <c r="H6" s="1">
        <v>95.09</v>
      </c>
      <c r="I6" s="1">
        <v>99.19</v>
      </c>
      <c r="K6" s="1">
        <v>95.84</v>
      </c>
      <c r="L6">
        <v>98.89</v>
      </c>
    </row>
    <row r="7" spans="1:19">
      <c r="A7" s="2" t="s">
        <v>12</v>
      </c>
      <c r="B7">
        <v>99.25</v>
      </c>
      <c r="C7" s="1">
        <v>100</v>
      </c>
      <c r="E7" s="1">
        <v>99.41</v>
      </c>
      <c r="F7" s="1">
        <v>99.99</v>
      </c>
      <c r="H7" s="1">
        <v>99.08</v>
      </c>
      <c r="I7" s="1">
        <v>100</v>
      </c>
      <c r="K7" s="1">
        <v>99.24</v>
      </c>
      <c r="L7">
        <v>99.99</v>
      </c>
    </row>
    <row r="8" spans="1:19">
      <c r="A8" s="2" t="s">
        <v>13</v>
      </c>
      <c r="B8">
        <v>99.26</v>
      </c>
      <c r="C8">
        <v>99.96</v>
      </c>
      <c r="E8" s="1">
        <v>99.32</v>
      </c>
      <c r="F8" s="1">
        <v>99.93</v>
      </c>
      <c r="H8" s="1">
        <v>99.2</v>
      </c>
      <c r="I8" s="1">
        <v>99.99</v>
      </c>
      <c r="K8" s="1">
        <v>99.26</v>
      </c>
      <c r="L8">
        <v>99.96</v>
      </c>
    </row>
    <row r="9" spans="1:19">
      <c r="A9" s="2" t="s">
        <v>14</v>
      </c>
      <c r="B9">
        <v>98.12</v>
      </c>
      <c r="C9">
        <v>99.24</v>
      </c>
      <c r="E9" s="1">
        <v>98.32</v>
      </c>
      <c r="F9">
        <v>99.67</v>
      </c>
      <c r="H9" s="1">
        <v>97.92</v>
      </c>
      <c r="I9">
        <v>98.81</v>
      </c>
      <c r="K9" s="1">
        <v>98.12</v>
      </c>
      <c r="L9">
        <v>99.24</v>
      </c>
    </row>
    <row r="10" spans="1:19">
      <c r="A10" s="2" t="s">
        <v>15</v>
      </c>
      <c r="B10">
        <v>97.34</v>
      </c>
      <c r="C10">
        <v>99.35</v>
      </c>
      <c r="E10">
        <v>98.09</v>
      </c>
      <c r="F10">
        <v>99.54</v>
      </c>
      <c r="H10">
        <v>96.57</v>
      </c>
      <c r="I10">
        <v>99.16</v>
      </c>
      <c r="K10">
        <v>97.32</v>
      </c>
      <c r="L10">
        <v>99.35</v>
      </c>
    </row>
    <row r="11" spans="1:19">
      <c r="A11" s="2" t="s">
        <v>16</v>
      </c>
      <c r="B11">
        <v>98.27</v>
      </c>
      <c r="C11">
        <v>99.32</v>
      </c>
      <c r="E11">
        <v>98.47</v>
      </c>
      <c r="F11">
        <v>99.05</v>
      </c>
      <c r="H11">
        <v>98.06</v>
      </c>
      <c r="I11" s="1">
        <v>99.6</v>
      </c>
      <c r="K11">
        <v>98.26</v>
      </c>
      <c r="L11">
        <v>99.32</v>
      </c>
    </row>
    <row r="12" spans="1:19">
      <c r="A12" s="2" t="s">
        <v>17</v>
      </c>
      <c r="B12">
        <v>98.81</v>
      </c>
      <c r="C12">
        <v>99.94</v>
      </c>
      <c r="E12">
        <v>99.17</v>
      </c>
      <c r="F12" s="1">
        <v>100</v>
      </c>
      <c r="H12">
        <v>98.45</v>
      </c>
      <c r="I12">
        <v>99.88</v>
      </c>
      <c r="K12">
        <v>98.81</v>
      </c>
      <c r="L12">
        <v>99.94</v>
      </c>
    </row>
    <row r="13" spans="1:19">
      <c r="A13" s="2" t="s">
        <v>18</v>
      </c>
      <c r="B13" s="1">
        <f>AVERAGE(B4:B12)</f>
        <v>98.074444444444453</v>
      </c>
      <c r="C13" s="1">
        <f>AVERAGE(C4:C12)</f>
        <v>99.391111111111115</v>
      </c>
      <c r="E13" s="1">
        <f>AVERAGE(E4:E12)</f>
        <v>98.424444444444433</v>
      </c>
      <c r="F13" s="1">
        <f>AVERAGE(F4:F12)</f>
        <v>99.384444444444441</v>
      </c>
      <c r="H13" s="1">
        <f>AVERAGE(H4:H12)</f>
        <v>97.708888888888879</v>
      </c>
      <c r="I13" s="1">
        <f>AVERAGE(I4:I12)</f>
        <v>99.397777777777776</v>
      </c>
      <c r="K13" s="1">
        <f>AVERAGE(K4:K12)</f>
        <v>98.063333333333333</v>
      </c>
      <c r="L13">
        <f>AVERAGE(L4:L12)</f>
        <v>99.39</v>
      </c>
    </row>
  </sheetData>
  <mergeCells count="5">
    <mergeCell ref="A1:L1"/>
    <mergeCell ref="K2:L2"/>
    <mergeCell ref="H2:I2"/>
    <mergeCell ref="E2:F2"/>
    <mergeCell ref="B2:C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E188-0E5B-408C-ABA8-D6CD25F98BE3}">
  <dimension ref="A1:M16"/>
  <sheetViews>
    <sheetView workbookViewId="0">
      <selection activeCell="D13" sqref="D13"/>
    </sheetView>
  </sheetViews>
  <sheetFormatPr baseColWidth="10" defaultColWidth="8.83203125" defaultRowHeight="15"/>
  <cols>
    <col min="1" max="1" width="71.6640625" customWidth="1"/>
    <col min="2" max="2" width="26.83203125" customWidth="1"/>
    <col min="3" max="4" width="15.83203125" customWidth="1"/>
    <col min="5" max="5" width="25.33203125" customWidth="1"/>
    <col min="6" max="6" width="18" customWidth="1"/>
    <col min="7" max="7" width="14.1640625" customWidth="1"/>
    <col min="8" max="8" width="26.5" customWidth="1"/>
    <col min="9" max="9" width="17.33203125" customWidth="1"/>
    <col min="11" max="11" width="26" customWidth="1"/>
    <col min="12" max="12" width="14.6640625" customWidth="1"/>
    <col min="13" max="13" width="17.5" customWidth="1"/>
  </cols>
  <sheetData>
    <row r="1" spans="1:13" ht="18">
      <c r="A1" s="13" t="s">
        <v>19</v>
      </c>
      <c r="B1" s="13"/>
      <c r="C1" s="13"/>
      <c r="D1" s="13"/>
      <c r="E1" s="13"/>
      <c r="F1" s="13"/>
      <c r="G1" s="13"/>
      <c r="H1" s="13"/>
      <c r="I1" s="13"/>
      <c r="J1" s="13"/>
    </row>
    <row r="2" spans="1:13">
      <c r="A2" s="2" t="s">
        <v>5</v>
      </c>
      <c r="B2" s="12" t="s">
        <v>1</v>
      </c>
      <c r="C2" s="12"/>
      <c r="D2" s="11"/>
      <c r="E2" s="12" t="s">
        <v>2</v>
      </c>
      <c r="F2" s="12"/>
      <c r="G2" s="2"/>
      <c r="H2" s="12" t="s">
        <v>3</v>
      </c>
      <c r="I2" s="12"/>
      <c r="J2" s="2"/>
      <c r="K2" s="12" t="s">
        <v>4</v>
      </c>
      <c r="L2" s="12"/>
      <c r="M2" s="2"/>
    </row>
    <row r="3" spans="1:13">
      <c r="A3" s="14" t="s">
        <v>20</v>
      </c>
      <c r="B3" s="2" t="s">
        <v>6</v>
      </c>
      <c r="C3">
        <v>95.75</v>
      </c>
      <c r="E3" s="2" t="s">
        <v>6</v>
      </c>
      <c r="F3" s="1">
        <v>94.21</v>
      </c>
      <c r="H3" s="2" t="s">
        <v>6</v>
      </c>
      <c r="I3" s="1">
        <v>97.48</v>
      </c>
      <c r="K3" s="2" t="s">
        <v>6</v>
      </c>
      <c r="L3" s="1">
        <v>95.82</v>
      </c>
      <c r="M3" s="2"/>
    </row>
    <row r="4" spans="1:13">
      <c r="A4" s="15"/>
      <c r="B4" s="8" t="s">
        <v>8</v>
      </c>
      <c r="C4" s="9">
        <v>99.77</v>
      </c>
      <c r="D4" s="9"/>
      <c r="E4" s="8" t="s">
        <v>8</v>
      </c>
      <c r="F4" s="9">
        <v>99.75</v>
      </c>
      <c r="G4" s="9"/>
      <c r="H4" s="8" t="s">
        <v>8</v>
      </c>
      <c r="I4" s="9">
        <v>99.78</v>
      </c>
      <c r="J4" s="9"/>
      <c r="K4" s="8" t="s">
        <v>8</v>
      </c>
      <c r="L4" s="9">
        <v>99.76</v>
      </c>
    </row>
    <row r="5" spans="1:13">
      <c r="A5" s="14" t="s">
        <v>21</v>
      </c>
      <c r="B5" s="2" t="s">
        <v>6</v>
      </c>
      <c r="C5">
        <v>94.45</v>
      </c>
      <c r="E5" s="2" t="s">
        <v>6</v>
      </c>
      <c r="F5" s="1">
        <v>91.23</v>
      </c>
      <c r="H5" s="2" t="s">
        <v>6</v>
      </c>
      <c r="I5" s="1">
        <v>98.35</v>
      </c>
      <c r="K5" s="2" t="s">
        <v>6</v>
      </c>
      <c r="L5" s="1">
        <v>94.66</v>
      </c>
    </row>
    <row r="6" spans="1:13">
      <c r="A6" s="14"/>
      <c r="B6" s="2" t="s">
        <v>8</v>
      </c>
      <c r="C6" s="1">
        <v>99.9</v>
      </c>
      <c r="E6" s="2" t="s">
        <v>8</v>
      </c>
      <c r="F6" s="1">
        <v>100</v>
      </c>
      <c r="H6" s="2" t="s">
        <v>8</v>
      </c>
      <c r="I6" s="1">
        <v>99.8</v>
      </c>
      <c r="K6" s="2" t="s">
        <v>8</v>
      </c>
      <c r="L6" s="1">
        <v>99.9</v>
      </c>
    </row>
    <row r="8" spans="1:13">
      <c r="A8" s="14" t="s">
        <v>22</v>
      </c>
      <c r="B8" s="2" t="s">
        <v>6</v>
      </c>
      <c r="C8">
        <v>94.29</v>
      </c>
      <c r="E8" s="2" t="s">
        <v>6</v>
      </c>
      <c r="F8" s="1">
        <v>93.54</v>
      </c>
      <c r="H8" s="2" t="s">
        <v>6</v>
      </c>
      <c r="I8" s="1">
        <v>95.15</v>
      </c>
      <c r="K8" s="2" t="s">
        <v>6</v>
      </c>
      <c r="L8" s="1">
        <v>94.34</v>
      </c>
    </row>
    <row r="9" spans="1:13">
      <c r="A9" s="15"/>
      <c r="B9" s="8" t="s">
        <v>8</v>
      </c>
      <c r="C9" s="9">
        <v>98.77</v>
      </c>
      <c r="D9" s="9"/>
      <c r="E9" s="8" t="s">
        <v>8</v>
      </c>
      <c r="F9" s="10">
        <v>99.82</v>
      </c>
      <c r="G9" s="9"/>
      <c r="H9" s="8" t="s">
        <v>8</v>
      </c>
      <c r="I9" s="9">
        <v>97.71</v>
      </c>
      <c r="J9" s="9"/>
      <c r="K9" s="8" t="s">
        <v>8</v>
      </c>
      <c r="L9" s="10">
        <v>98.75</v>
      </c>
    </row>
    <row r="10" spans="1:13">
      <c r="A10" s="14" t="s">
        <v>23</v>
      </c>
      <c r="B10" s="2" t="s">
        <v>6</v>
      </c>
      <c r="C10">
        <v>93.91</v>
      </c>
      <c r="E10" s="2" t="s">
        <v>6</v>
      </c>
      <c r="F10" s="1">
        <v>90.54</v>
      </c>
      <c r="H10" s="2" t="s">
        <v>6</v>
      </c>
      <c r="I10" s="1">
        <v>98.07</v>
      </c>
      <c r="K10" s="2" t="s">
        <v>6</v>
      </c>
      <c r="L10" s="1">
        <v>94.15</v>
      </c>
    </row>
    <row r="11" spans="1:13">
      <c r="A11" s="14"/>
      <c r="B11" s="2" t="s">
        <v>8</v>
      </c>
      <c r="C11">
        <v>99.88</v>
      </c>
      <c r="E11" s="2" t="s">
        <v>8</v>
      </c>
      <c r="F11" s="1">
        <v>99.9</v>
      </c>
      <c r="H11" s="2" t="s">
        <v>8</v>
      </c>
      <c r="I11">
        <v>99.85</v>
      </c>
      <c r="K11" s="2" t="s">
        <v>8</v>
      </c>
      <c r="L11" s="1">
        <v>99.87</v>
      </c>
    </row>
    <row r="13" spans="1:13">
      <c r="A13" s="14" t="s">
        <v>24</v>
      </c>
      <c r="B13" s="2" t="s">
        <v>6</v>
      </c>
      <c r="C13">
        <v>94.89</v>
      </c>
      <c r="E13" s="2" t="s">
        <v>6</v>
      </c>
      <c r="F13" s="1">
        <v>91.99</v>
      </c>
      <c r="H13" s="2" t="s">
        <v>6</v>
      </c>
      <c r="I13" s="1">
        <v>98.35</v>
      </c>
      <c r="K13" s="2" t="s">
        <v>6</v>
      </c>
      <c r="L13" s="1">
        <v>95.06</v>
      </c>
    </row>
    <row r="14" spans="1:13">
      <c r="A14" s="15"/>
      <c r="B14" s="8" t="s">
        <v>8</v>
      </c>
      <c r="C14" s="10">
        <v>99.9</v>
      </c>
      <c r="D14" s="9"/>
      <c r="E14" s="8" t="s">
        <v>8</v>
      </c>
      <c r="F14" s="10">
        <v>100</v>
      </c>
      <c r="G14" s="9"/>
      <c r="H14" s="8" t="s">
        <v>8</v>
      </c>
      <c r="I14" s="10">
        <v>99.8</v>
      </c>
      <c r="J14" s="9"/>
      <c r="K14" s="8" t="s">
        <v>8</v>
      </c>
      <c r="L14" s="10">
        <v>99.9</v>
      </c>
    </row>
    <row r="15" spans="1:13">
      <c r="A15" s="14" t="s">
        <v>25</v>
      </c>
      <c r="B15" s="2" t="s">
        <v>6</v>
      </c>
      <c r="C15">
        <v>94.27</v>
      </c>
      <c r="E15" s="2" t="s">
        <v>6</v>
      </c>
      <c r="F15" s="1">
        <v>92.49</v>
      </c>
      <c r="H15" s="2" t="s">
        <v>6</v>
      </c>
      <c r="I15" s="1">
        <v>96.35</v>
      </c>
      <c r="K15" s="2" t="s">
        <v>6</v>
      </c>
      <c r="L15" s="1">
        <v>94.38</v>
      </c>
    </row>
    <row r="16" spans="1:13">
      <c r="A16" s="14"/>
      <c r="B16" s="2" t="s">
        <v>8</v>
      </c>
      <c r="C16">
        <v>99.61</v>
      </c>
      <c r="E16" s="2" t="s">
        <v>8</v>
      </c>
      <c r="F16" s="1">
        <v>99.26</v>
      </c>
      <c r="H16" s="2" t="s">
        <v>8</v>
      </c>
      <c r="I16">
        <v>99.98</v>
      </c>
      <c r="K16" s="2" t="s">
        <v>8</v>
      </c>
      <c r="L16" s="1">
        <v>99.62</v>
      </c>
    </row>
  </sheetData>
  <mergeCells count="11">
    <mergeCell ref="K2:L2"/>
    <mergeCell ref="A3:A4"/>
    <mergeCell ref="A5:A6"/>
    <mergeCell ref="A8:A9"/>
    <mergeCell ref="A10:A11"/>
    <mergeCell ref="A15:A16"/>
    <mergeCell ref="A1:J1"/>
    <mergeCell ref="B2:C2"/>
    <mergeCell ref="E2:F2"/>
    <mergeCell ref="H2:I2"/>
    <mergeCell ref="A13:A14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41F8-8820-4EFA-9785-4406ABA37836}">
  <dimension ref="A1:L11"/>
  <sheetViews>
    <sheetView tabSelected="1" workbookViewId="0">
      <selection activeCell="B6" sqref="B6"/>
    </sheetView>
  </sheetViews>
  <sheetFormatPr baseColWidth="10" defaultColWidth="8.83203125" defaultRowHeight="15"/>
  <cols>
    <col min="1" max="1" width="102.5" customWidth="1"/>
    <col min="2" max="2" width="26.83203125" customWidth="1"/>
    <col min="3" max="4" width="15.83203125" customWidth="1"/>
    <col min="5" max="5" width="25.33203125" customWidth="1"/>
    <col min="6" max="6" width="18" customWidth="1"/>
    <col min="7" max="7" width="14.1640625" customWidth="1"/>
    <col min="8" max="8" width="26.5" customWidth="1"/>
    <col min="9" max="9" width="17.33203125" customWidth="1"/>
    <col min="11" max="11" width="26" customWidth="1"/>
    <col min="12" max="12" width="14.6640625" customWidth="1"/>
  </cols>
  <sheetData>
    <row r="1" spans="1:12" ht="18">
      <c r="A1" s="13" t="s">
        <v>26</v>
      </c>
      <c r="B1" s="13"/>
      <c r="C1" s="13"/>
      <c r="D1" s="13"/>
      <c r="E1" s="13"/>
      <c r="F1" s="13"/>
      <c r="G1" s="13"/>
      <c r="H1" s="13"/>
      <c r="I1" s="13"/>
      <c r="J1" s="13"/>
    </row>
    <row r="2" spans="1:12">
      <c r="A2" s="2" t="s">
        <v>5</v>
      </c>
      <c r="B2" s="12" t="s">
        <v>1</v>
      </c>
      <c r="C2" s="12"/>
      <c r="D2" s="11"/>
      <c r="E2" s="12" t="s">
        <v>2</v>
      </c>
      <c r="F2" s="12"/>
      <c r="G2" s="2"/>
      <c r="H2" s="12" t="s">
        <v>3</v>
      </c>
      <c r="I2" s="12"/>
      <c r="J2" s="2"/>
      <c r="K2" s="12" t="s">
        <v>4</v>
      </c>
      <c r="L2" s="12"/>
    </row>
    <row r="3" spans="1:12">
      <c r="A3" s="14" t="s">
        <v>27</v>
      </c>
      <c r="B3" s="2" t="s">
        <v>6</v>
      </c>
      <c r="C3">
        <v>98.77</v>
      </c>
      <c r="E3" s="2" t="s">
        <v>6</v>
      </c>
      <c r="F3" s="1">
        <v>99.16</v>
      </c>
      <c r="H3" s="2" t="s">
        <v>6</v>
      </c>
      <c r="I3" s="1">
        <v>98.36</v>
      </c>
      <c r="K3" s="2" t="s">
        <v>6</v>
      </c>
      <c r="L3" s="1">
        <v>98.76</v>
      </c>
    </row>
    <row r="4" spans="1:12" ht="17.25" customHeight="1">
      <c r="A4" s="15"/>
      <c r="B4" s="8" t="s">
        <v>8</v>
      </c>
      <c r="C4" s="9">
        <v>99.77</v>
      </c>
      <c r="D4" s="9"/>
      <c r="E4" s="8" t="s">
        <v>8</v>
      </c>
      <c r="F4" s="10">
        <v>99.9</v>
      </c>
      <c r="G4" s="9"/>
      <c r="H4" s="8" t="s">
        <v>8</v>
      </c>
      <c r="I4" s="9">
        <v>99.63</v>
      </c>
      <c r="J4" s="9"/>
      <c r="K4" s="8" t="s">
        <v>8</v>
      </c>
      <c r="L4" s="9">
        <v>99.76</v>
      </c>
    </row>
    <row r="5" spans="1:12">
      <c r="A5" s="14" t="s">
        <v>28</v>
      </c>
      <c r="B5" s="2" t="s">
        <v>6</v>
      </c>
      <c r="C5">
        <v>93.81</v>
      </c>
      <c r="E5" s="2" t="s">
        <v>6</v>
      </c>
      <c r="F5" s="1">
        <v>89.63</v>
      </c>
      <c r="H5" s="2" t="s">
        <v>6</v>
      </c>
      <c r="I5" s="1">
        <v>99.07</v>
      </c>
      <c r="K5" s="2" t="s">
        <v>6</v>
      </c>
      <c r="L5" s="1">
        <v>94.11</v>
      </c>
    </row>
    <row r="6" spans="1:12">
      <c r="A6" s="14"/>
      <c r="B6" s="2" t="s">
        <v>8</v>
      </c>
      <c r="C6" s="1">
        <v>99.82</v>
      </c>
      <c r="E6" s="2" t="s">
        <v>8</v>
      </c>
      <c r="F6" s="1">
        <v>99.85</v>
      </c>
      <c r="H6" s="2" t="s">
        <v>8</v>
      </c>
      <c r="I6" s="1">
        <v>99.79</v>
      </c>
      <c r="K6" s="2" t="s">
        <v>8</v>
      </c>
      <c r="L6" s="1">
        <v>99.82</v>
      </c>
    </row>
    <row r="8" spans="1:12">
      <c r="A8" s="14" t="s">
        <v>29</v>
      </c>
      <c r="B8" s="2" t="s">
        <v>6</v>
      </c>
      <c r="C8">
        <v>72.86</v>
      </c>
      <c r="E8" s="2" t="s">
        <v>6</v>
      </c>
      <c r="F8" s="1">
        <v>65.599999999999994</v>
      </c>
      <c r="H8" s="2" t="s">
        <v>6</v>
      </c>
      <c r="I8" s="1">
        <v>96.09</v>
      </c>
      <c r="K8" s="2" t="s">
        <v>6</v>
      </c>
      <c r="L8" s="1">
        <v>77.97</v>
      </c>
    </row>
    <row r="9" spans="1:12">
      <c r="A9" s="15"/>
      <c r="B9" s="8" t="s">
        <v>8</v>
      </c>
      <c r="C9" s="9">
        <v>99.69</v>
      </c>
      <c r="D9" s="9"/>
      <c r="E9" s="8" t="s">
        <v>8</v>
      </c>
      <c r="F9" s="10">
        <v>99.74</v>
      </c>
      <c r="G9" s="9"/>
      <c r="H9" s="8" t="s">
        <v>8</v>
      </c>
      <c r="I9" s="9">
        <v>99.63</v>
      </c>
      <c r="J9" s="9"/>
      <c r="K9" s="8" t="s">
        <v>8</v>
      </c>
      <c r="L9" s="10">
        <v>99.68</v>
      </c>
    </row>
    <row r="10" spans="1:12">
      <c r="A10" s="14" t="s">
        <v>30</v>
      </c>
      <c r="B10" s="2" t="s">
        <v>6</v>
      </c>
      <c r="C10">
        <v>83.97</v>
      </c>
      <c r="E10" s="2" t="s">
        <v>6</v>
      </c>
      <c r="F10" s="1">
        <v>76.540000000000006</v>
      </c>
      <c r="H10" s="2" t="s">
        <v>6</v>
      </c>
      <c r="I10" s="1">
        <v>97.95</v>
      </c>
      <c r="K10" s="2" t="s">
        <v>6</v>
      </c>
      <c r="L10" s="1">
        <v>85.93</v>
      </c>
    </row>
    <row r="11" spans="1:12">
      <c r="A11" s="14"/>
      <c r="B11" s="2" t="s">
        <v>8</v>
      </c>
      <c r="C11">
        <v>99.81</v>
      </c>
      <c r="E11" s="2" t="s">
        <v>8</v>
      </c>
      <c r="F11" s="1">
        <v>99.88</v>
      </c>
      <c r="H11" s="2" t="s">
        <v>8</v>
      </c>
      <c r="I11">
        <v>99.73</v>
      </c>
      <c r="K11" s="2" t="s">
        <v>8</v>
      </c>
      <c r="L11" s="1">
        <v>99.8</v>
      </c>
    </row>
  </sheetData>
  <mergeCells count="9">
    <mergeCell ref="A8:A9"/>
    <mergeCell ref="A10:A11"/>
    <mergeCell ref="K2:L2"/>
    <mergeCell ref="A1:J1"/>
    <mergeCell ref="B2:C2"/>
    <mergeCell ref="E2:F2"/>
    <mergeCell ref="H2:I2"/>
    <mergeCell ref="A3:A4"/>
    <mergeCell ref="A5:A6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1F61-407D-4081-908C-0EA0FA3C637C}">
  <dimension ref="A1:Z15"/>
  <sheetViews>
    <sheetView workbookViewId="0">
      <selection activeCell="C10" sqref="C10:D10"/>
    </sheetView>
  </sheetViews>
  <sheetFormatPr baseColWidth="10" defaultColWidth="8.83203125" defaultRowHeight="15"/>
  <cols>
    <col min="4" max="4" width="17.83203125" customWidth="1"/>
    <col min="5" max="6" width="15.33203125" customWidth="1"/>
    <col min="7" max="7" width="15" customWidth="1"/>
    <col min="8" max="8" width="16.1640625" customWidth="1"/>
  </cols>
  <sheetData>
    <row r="1" spans="1:26" ht="13.5" customHeight="1">
      <c r="A1" s="16" t="s">
        <v>5</v>
      </c>
      <c r="B1" s="16"/>
      <c r="C1" s="3" t="s">
        <v>31</v>
      </c>
      <c r="D1" s="16" t="s">
        <v>1</v>
      </c>
      <c r="E1" s="16"/>
      <c r="F1" s="16"/>
      <c r="G1" s="16"/>
      <c r="H1" s="16"/>
      <c r="I1" s="3" t="s">
        <v>31</v>
      </c>
      <c r="J1" s="16" t="s">
        <v>2</v>
      </c>
      <c r="K1" s="16"/>
      <c r="L1" s="16"/>
      <c r="M1" s="16"/>
      <c r="N1" s="16"/>
      <c r="O1" s="3" t="s">
        <v>31</v>
      </c>
      <c r="P1" s="16" t="s">
        <v>3</v>
      </c>
      <c r="Q1" s="16"/>
      <c r="R1" s="16"/>
      <c r="S1" s="16"/>
      <c r="T1" s="16"/>
      <c r="U1" s="3" t="s">
        <v>31</v>
      </c>
      <c r="V1" s="16" t="s">
        <v>32</v>
      </c>
      <c r="W1" s="16"/>
      <c r="X1" s="16"/>
      <c r="Y1" s="16"/>
      <c r="Z1" s="16"/>
    </row>
    <row r="2" spans="1:26" ht="16">
      <c r="A2" s="20"/>
      <c r="B2" s="20"/>
      <c r="C2" s="4" t="s">
        <v>31</v>
      </c>
      <c r="D2" s="5" t="s">
        <v>6</v>
      </c>
      <c r="E2" s="5" t="s">
        <v>33</v>
      </c>
      <c r="F2" s="5" t="s">
        <v>34</v>
      </c>
      <c r="G2" s="5" t="s">
        <v>35</v>
      </c>
      <c r="H2" s="5" t="s">
        <v>36</v>
      </c>
      <c r="I2" s="4" t="s">
        <v>31</v>
      </c>
      <c r="J2" s="5" t="s">
        <v>6</v>
      </c>
      <c r="K2" s="5" t="s">
        <v>33</v>
      </c>
      <c r="L2" s="5" t="s">
        <v>34</v>
      </c>
      <c r="M2" s="5" t="s">
        <v>35</v>
      </c>
      <c r="N2" s="5" t="s">
        <v>36</v>
      </c>
      <c r="O2" s="4" t="s">
        <v>31</v>
      </c>
      <c r="P2" s="5" t="s">
        <v>6</v>
      </c>
      <c r="Q2" s="5" t="s">
        <v>33</v>
      </c>
      <c r="R2" s="5" t="s">
        <v>34</v>
      </c>
      <c r="S2" s="5" t="s">
        <v>35</v>
      </c>
      <c r="T2" s="5" t="s">
        <v>36</v>
      </c>
      <c r="U2" s="4" t="s">
        <v>31</v>
      </c>
      <c r="V2" s="5" t="s">
        <v>6</v>
      </c>
      <c r="W2" s="5" t="s">
        <v>33</v>
      </c>
      <c r="X2" s="5" t="s">
        <v>34</v>
      </c>
      <c r="Y2" s="5" t="s">
        <v>35</v>
      </c>
      <c r="Z2" s="5" t="s">
        <v>36</v>
      </c>
    </row>
    <row r="3" spans="1:26" ht="16">
      <c r="A3" s="17" t="s">
        <v>37</v>
      </c>
      <c r="B3" s="6" t="s">
        <v>14</v>
      </c>
      <c r="C3" s="6"/>
      <c r="D3" s="6">
        <v>96.88</v>
      </c>
      <c r="E3" s="6">
        <v>95.6</v>
      </c>
      <c r="F3" s="6">
        <v>93.59</v>
      </c>
      <c r="G3" s="6">
        <v>91.85</v>
      </c>
      <c r="H3" s="6">
        <v>89.1</v>
      </c>
      <c r="I3" s="6"/>
      <c r="J3" s="6">
        <v>96.81</v>
      </c>
      <c r="K3" s="6">
        <v>95.43</v>
      </c>
      <c r="L3" s="6">
        <v>92.76</v>
      </c>
      <c r="M3" s="6">
        <v>99.68</v>
      </c>
      <c r="N3" s="6">
        <v>88.36</v>
      </c>
      <c r="O3" s="6"/>
      <c r="P3" s="6">
        <v>96.96</v>
      </c>
      <c r="Q3" s="6">
        <v>95.92</v>
      </c>
      <c r="R3" s="6">
        <v>94.56</v>
      </c>
      <c r="S3" s="6">
        <v>83.97</v>
      </c>
      <c r="T3" s="6">
        <v>90.07</v>
      </c>
      <c r="U3" s="6"/>
      <c r="V3" s="6">
        <v>96.89</v>
      </c>
      <c r="W3" s="6">
        <v>95.68</v>
      </c>
      <c r="X3" s="6">
        <v>93.65</v>
      </c>
      <c r="Y3" s="6">
        <v>91.15</v>
      </c>
      <c r="Z3" s="6">
        <v>89.21</v>
      </c>
    </row>
    <row r="4" spans="1:26" ht="16">
      <c r="A4" s="17"/>
      <c r="B4" s="6" t="s">
        <v>38</v>
      </c>
      <c r="C4" s="6"/>
      <c r="D4" s="6">
        <v>96.38</v>
      </c>
      <c r="E4" s="6">
        <v>92.55</v>
      </c>
      <c r="F4" s="6">
        <v>89.92</v>
      </c>
      <c r="G4" s="6">
        <v>89.31</v>
      </c>
      <c r="H4" s="6">
        <v>82.91</v>
      </c>
      <c r="I4" s="6"/>
      <c r="J4" s="6">
        <v>96.87</v>
      </c>
      <c r="K4" s="6">
        <v>93.39</v>
      </c>
      <c r="L4" s="6">
        <v>90.49</v>
      </c>
      <c r="M4" s="6">
        <v>99.5</v>
      </c>
      <c r="N4" s="6">
        <v>84.36</v>
      </c>
      <c r="O4" s="6"/>
      <c r="P4" s="6">
        <v>95.87</v>
      </c>
      <c r="Q4" s="6">
        <v>91.79</v>
      </c>
      <c r="R4" s="6">
        <v>89.21</v>
      </c>
      <c r="S4" s="6">
        <v>79.02</v>
      </c>
      <c r="T4" s="6">
        <v>80.790000000000006</v>
      </c>
      <c r="U4" s="6"/>
      <c r="V4" s="6">
        <v>96.37</v>
      </c>
      <c r="W4" s="6">
        <v>92.58</v>
      </c>
      <c r="X4" s="6">
        <v>89.84</v>
      </c>
      <c r="Y4" s="6">
        <v>88.08</v>
      </c>
      <c r="Z4" s="6">
        <v>82.54</v>
      </c>
    </row>
    <row r="5" spans="1:26" ht="16">
      <c r="A5" s="17"/>
      <c r="B5" s="6" t="s">
        <v>39</v>
      </c>
      <c r="C5" s="6"/>
      <c r="D5" s="6">
        <v>99.34</v>
      </c>
      <c r="E5" s="6">
        <v>95.6</v>
      </c>
      <c r="F5" s="6">
        <v>93.23</v>
      </c>
      <c r="G5" s="6">
        <v>94.56</v>
      </c>
      <c r="H5" s="6">
        <v>84.27</v>
      </c>
      <c r="I5" s="6"/>
      <c r="J5" s="6">
        <v>99.68</v>
      </c>
      <c r="K5" s="6">
        <v>96.07</v>
      </c>
      <c r="L5" s="6">
        <v>93.99</v>
      </c>
      <c r="M5" s="6">
        <v>99.71</v>
      </c>
      <c r="N5" s="6">
        <v>85.37</v>
      </c>
      <c r="O5" s="6"/>
      <c r="P5" s="6">
        <v>99</v>
      </c>
      <c r="Q5" s="6">
        <v>95.15</v>
      </c>
      <c r="R5" s="6">
        <v>92.36</v>
      </c>
      <c r="S5" s="6">
        <v>89.39</v>
      </c>
      <c r="T5" s="6">
        <v>82.71</v>
      </c>
      <c r="U5" s="6"/>
      <c r="V5" s="6">
        <v>99.34</v>
      </c>
      <c r="W5" s="6">
        <v>95.61</v>
      </c>
      <c r="X5" s="6">
        <v>93.17</v>
      </c>
      <c r="Y5" s="6">
        <v>94.27</v>
      </c>
      <c r="Z5" s="6">
        <v>84.02</v>
      </c>
    </row>
    <row r="6" spans="1:26" ht="16">
      <c r="A6" s="17"/>
      <c r="B6" s="6" t="s">
        <v>40</v>
      </c>
      <c r="C6" s="6"/>
      <c r="D6" s="6">
        <v>99.31</v>
      </c>
      <c r="E6" s="6">
        <v>95.18</v>
      </c>
      <c r="F6" s="6">
        <v>92.37</v>
      </c>
      <c r="G6" s="6">
        <v>90.59</v>
      </c>
      <c r="H6" s="6">
        <v>81.790000000000006</v>
      </c>
      <c r="I6" s="6"/>
      <c r="J6" s="6">
        <v>98.98</v>
      </c>
      <c r="K6" s="6">
        <v>94.81</v>
      </c>
      <c r="L6" s="6">
        <v>91.15</v>
      </c>
      <c r="M6" s="6">
        <v>99</v>
      </c>
      <c r="N6" s="6">
        <v>81.790000000000006</v>
      </c>
      <c r="O6" s="6"/>
      <c r="P6" s="6">
        <v>99.66</v>
      </c>
      <c r="Q6" s="6">
        <v>95.6</v>
      </c>
      <c r="R6" s="6">
        <v>93.85</v>
      </c>
      <c r="S6" s="6">
        <v>82</v>
      </c>
      <c r="T6" s="6">
        <v>81.81</v>
      </c>
      <c r="U6" s="6"/>
      <c r="V6" s="6">
        <v>99.32</v>
      </c>
      <c r="W6" s="6">
        <v>95.2</v>
      </c>
      <c r="X6" s="6">
        <v>92.48</v>
      </c>
      <c r="Y6" s="6">
        <v>89.7</v>
      </c>
      <c r="Z6" s="6">
        <v>81.8</v>
      </c>
    </row>
    <row r="7" spans="1:26" ht="16">
      <c r="A7" s="17"/>
      <c r="B7" s="6" t="s">
        <v>41</v>
      </c>
      <c r="C7" s="6"/>
      <c r="D7" s="6">
        <v>99.19</v>
      </c>
      <c r="E7" s="6">
        <v>97.94</v>
      </c>
      <c r="F7" s="6">
        <v>95.52</v>
      </c>
      <c r="G7" s="6">
        <v>91.58</v>
      </c>
      <c r="H7" s="6">
        <v>90.48</v>
      </c>
      <c r="I7" s="6"/>
      <c r="J7" s="6">
        <v>98.97</v>
      </c>
      <c r="K7" s="6">
        <v>97.61</v>
      </c>
      <c r="L7" s="6">
        <v>95.02</v>
      </c>
      <c r="M7" s="6">
        <v>99.71</v>
      </c>
      <c r="N7" s="6">
        <v>91.22</v>
      </c>
      <c r="O7" s="6"/>
      <c r="P7" s="6">
        <v>99.41</v>
      </c>
      <c r="Q7" s="6">
        <v>98.47</v>
      </c>
      <c r="R7" s="6">
        <v>96.08</v>
      </c>
      <c r="S7" s="6">
        <v>83.4</v>
      </c>
      <c r="T7" s="6">
        <v>89.59</v>
      </c>
      <c r="U7" s="6"/>
      <c r="V7" s="6">
        <v>99.19</v>
      </c>
      <c r="W7" s="6">
        <v>98.04</v>
      </c>
      <c r="X7" s="6">
        <v>95.55</v>
      </c>
      <c r="Y7" s="6">
        <v>90.83</v>
      </c>
      <c r="Z7" s="6">
        <v>90.4</v>
      </c>
    </row>
    <row r="8" spans="1:26" ht="16">
      <c r="A8" s="17" t="s">
        <v>42</v>
      </c>
      <c r="B8" s="6" t="s">
        <v>43</v>
      </c>
      <c r="C8" s="6"/>
      <c r="D8" s="6">
        <v>99.56</v>
      </c>
      <c r="E8" s="6">
        <v>99.83</v>
      </c>
      <c r="F8" s="6">
        <v>99.05</v>
      </c>
      <c r="G8" s="6">
        <v>91.93</v>
      </c>
      <c r="H8" s="6">
        <v>98.47</v>
      </c>
      <c r="I8" s="6"/>
      <c r="J8" s="6">
        <v>99.41</v>
      </c>
      <c r="K8" s="6">
        <v>99.73</v>
      </c>
      <c r="L8" s="6">
        <v>99.44</v>
      </c>
      <c r="M8" s="6">
        <v>99.89</v>
      </c>
      <c r="N8" s="6">
        <v>98.26</v>
      </c>
      <c r="O8" s="6"/>
      <c r="P8" s="6">
        <v>99.71</v>
      </c>
      <c r="Q8" s="6">
        <v>99.94</v>
      </c>
      <c r="R8" s="6">
        <v>98.66</v>
      </c>
      <c r="S8" s="6">
        <v>83.95</v>
      </c>
      <c r="T8" s="6">
        <v>98.68</v>
      </c>
      <c r="U8" s="6"/>
      <c r="V8" s="6">
        <v>99.56</v>
      </c>
      <c r="W8" s="6">
        <v>99.84</v>
      </c>
      <c r="X8" s="6">
        <v>99.05</v>
      </c>
      <c r="Y8" s="6">
        <v>91.23</v>
      </c>
      <c r="Z8" s="6">
        <v>98.47</v>
      </c>
    </row>
    <row r="9" spans="1:26" ht="16">
      <c r="A9" s="17"/>
      <c r="B9" s="6" t="s">
        <v>41</v>
      </c>
      <c r="C9" s="6"/>
      <c r="D9" s="6">
        <v>98.01</v>
      </c>
      <c r="E9" s="6">
        <v>96.37</v>
      </c>
      <c r="F9" s="6">
        <v>96.56</v>
      </c>
      <c r="G9" s="6">
        <v>88.7</v>
      </c>
      <c r="H9" s="6">
        <v>93.99</v>
      </c>
      <c r="I9" s="6"/>
      <c r="J9" s="6">
        <v>98.51</v>
      </c>
      <c r="K9" s="6">
        <v>96.67</v>
      </c>
      <c r="L9" s="6">
        <v>96.86</v>
      </c>
      <c r="M9" s="6">
        <v>97.09</v>
      </c>
      <c r="N9" s="6">
        <v>94.17</v>
      </c>
      <c r="O9" s="6"/>
      <c r="P9" s="6">
        <v>97.49</v>
      </c>
      <c r="Q9" s="6">
        <v>96.33</v>
      </c>
      <c r="R9" s="6">
        <v>96.24</v>
      </c>
      <c r="S9" s="6">
        <v>79.78</v>
      </c>
      <c r="T9" s="6">
        <v>93.78</v>
      </c>
      <c r="U9" s="6"/>
      <c r="V9" s="6">
        <v>98</v>
      </c>
      <c r="W9" s="6">
        <v>96.5</v>
      </c>
      <c r="X9" s="6">
        <v>96.55</v>
      </c>
      <c r="Y9" s="6">
        <v>87.59</v>
      </c>
      <c r="Z9" s="6">
        <v>93.97</v>
      </c>
    </row>
    <row r="10" spans="1:26" ht="16">
      <c r="A10" s="17"/>
      <c r="B10" s="6" t="s">
        <v>40</v>
      </c>
      <c r="C10" s="6"/>
      <c r="D10" s="6">
        <v>98.15</v>
      </c>
      <c r="E10" s="6">
        <v>94.2</v>
      </c>
      <c r="F10" s="6">
        <v>92.75</v>
      </c>
      <c r="G10" s="6">
        <v>86.29</v>
      </c>
      <c r="H10" s="6">
        <v>85.86</v>
      </c>
      <c r="I10" s="6"/>
      <c r="J10" s="6">
        <v>97.97</v>
      </c>
      <c r="K10" s="6">
        <v>94.24</v>
      </c>
      <c r="L10" s="6">
        <v>90.92</v>
      </c>
      <c r="M10" s="6">
        <v>98.12</v>
      </c>
      <c r="N10" s="6">
        <v>86.45</v>
      </c>
      <c r="O10" s="6"/>
      <c r="P10" s="6">
        <v>98.34</v>
      </c>
      <c r="Q10" s="6">
        <v>94.15</v>
      </c>
      <c r="R10" s="6">
        <v>94.99</v>
      </c>
      <c r="S10" s="6">
        <v>74</v>
      </c>
      <c r="T10" s="6">
        <v>84.51</v>
      </c>
      <c r="U10" s="6"/>
      <c r="V10" s="6">
        <v>98.15</v>
      </c>
      <c r="W10" s="6">
        <v>94.2</v>
      </c>
      <c r="X10" s="6">
        <v>92.91</v>
      </c>
      <c r="Y10" s="6">
        <v>84.37</v>
      </c>
      <c r="Z10" s="6">
        <v>85.47</v>
      </c>
    </row>
    <row r="11" spans="1:26" ht="16">
      <c r="A11" s="17"/>
      <c r="B11" s="6" t="s">
        <v>44</v>
      </c>
      <c r="C11" s="6"/>
      <c r="D11" s="6">
        <v>99.27</v>
      </c>
      <c r="E11" s="6">
        <v>99.94</v>
      </c>
      <c r="F11" s="6">
        <v>99.15</v>
      </c>
      <c r="G11" s="6">
        <v>95.69</v>
      </c>
      <c r="H11" s="6">
        <v>97.77</v>
      </c>
      <c r="I11" s="6"/>
      <c r="J11" s="6">
        <v>99.76</v>
      </c>
      <c r="K11" s="6">
        <v>99.96</v>
      </c>
      <c r="L11" s="6">
        <v>98.91</v>
      </c>
      <c r="M11" s="6">
        <v>99.99</v>
      </c>
      <c r="N11" s="6">
        <v>97.98</v>
      </c>
      <c r="O11" s="6"/>
      <c r="P11" s="6">
        <v>98.78</v>
      </c>
      <c r="Q11" s="6">
        <v>99.93</v>
      </c>
      <c r="R11" s="6">
        <v>99.39</v>
      </c>
      <c r="S11" s="6">
        <v>91.4</v>
      </c>
      <c r="T11" s="6">
        <v>97.56</v>
      </c>
      <c r="U11" s="6"/>
      <c r="V11" s="6">
        <v>99.27</v>
      </c>
      <c r="W11" s="6">
        <v>99.94</v>
      </c>
      <c r="X11" s="6">
        <v>99.15</v>
      </c>
      <c r="Y11" s="6">
        <v>95.5</v>
      </c>
      <c r="Z11" s="6">
        <v>97.77</v>
      </c>
    </row>
    <row r="12" spans="1:26" ht="16">
      <c r="A12" s="18"/>
      <c r="B12" s="7" t="s">
        <v>45</v>
      </c>
      <c r="C12" s="7" t="s">
        <v>31</v>
      </c>
      <c r="D12" s="7">
        <v>99.59</v>
      </c>
      <c r="E12" s="7">
        <v>99.87</v>
      </c>
      <c r="F12" s="7">
        <v>98.58</v>
      </c>
      <c r="G12" s="7">
        <v>95.74</v>
      </c>
      <c r="H12" s="7">
        <v>97.18</v>
      </c>
      <c r="I12" s="7" t="s">
        <v>31</v>
      </c>
      <c r="J12" s="7">
        <v>99.61</v>
      </c>
      <c r="K12" s="7">
        <v>99.82</v>
      </c>
      <c r="L12" s="7">
        <v>98.56</v>
      </c>
      <c r="M12" s="7">
        <v>99.95</v>
      </c>
      <c r="N12" s="7">
        <v>97.64</v>
      </c>
      <c r="O12" s="7" t="s">
        <v>31</v>
      </c>
      <c r="P12" s="7">
        <v>99.56</v>
      </c>
      <c r="Q12" s="7">
        <v>99.96</v>
      </c>
      <c r="R12" s="7">
        <v>98.6</v>
      </c>
      <c r="S12" s="7">
        <v>91.53</v>
      </c>
      <c r="T12" s="7">
        <v>96.7</v>
      </c>
      <c r="U12" s="7" t="s">
        <v>31</v>
      </c>
      <c r="V12" s="7">
        <v>99.58</v>
      </c>
      <c r="W12" s="7">
        <v>99.89</v>
      </c>
      <c r="X12" s="7">
        <v>98.58</v>
      </c>
      <c r="Y12" s="7">
        <v>95.55</v>
      </c>
      <c r="Z12" s="7">
        <v>97.17</v>
      </c>
    </row>
    <row r="13" spans="1:26" ht="16">
      <c r="A13" s="17" t="s">
        <v>46</v>
      </c>
      <c r="B13" s="17"/>
      <c r="C13" s="6"/>
      <c r="D13" s="6">
        <v>99.23</v>
      </c>
      <c r="E13" s="6">
        <v>95.99</v>
      </c>
      <c r="F13" s="6">
        <v>94.56</v>
      </c>
      <c r="G13" s="6">
        <v>91.72</v>
      </c>
      <c r="H13" s="6">
        <v>89.79</v>
      </c>
      <c r="I13" s="6"/>
      <c r="J13" s="6">
        <v>98.98</v>
      </c>
      <c r="K13" s="6">
        <v>96.37</v>
      </c>
      <c r="L13" s="6">
        <v>94.51</v>
      </c>
      <c r="M13" s="6">
        <v>99.7</v>
      </c>
      <c r="N13" s="6">
        <v>89.79</v>
      </c>
      <c r="O13" s="6"/>
      <c r="P13" s="6">
        <v>98.89</v>
      </c>
      <c r="Q13" s="6">
        <v>96.13</v>
      </c>
      <c r="R13" s="6">
        <v>95.54</v>
      </c>
      <c r="S13" s="6">
        <v>83.68</v>
      </c>
      <c r="T13" s="6">
        <v>89.83</v>
      </c>
      <c r="U13" s="6"/>
      <c r="V13" s="6">
        <v>99.23</v>
      </c>
      <c r="W13" s="6">
        <v>96.09</v>
      </c>
      <c r="X13" s="6">
        <v>94.6</v>
      </c>
      <c r="Y13" s="6">
        <v>90.99</v>
      </c>
      <c r="Z13" s="6">
        <v>89.81</v>
      </c>
    </row>
    <row r="14" spans="1:26" ht="16">
      <c r="A14" s="17" t="s">
        <v>47</v>
      </c>
      <c r="B14" s="17"/>
      <c r="C14" s="6"/>
      <c r="D14" s="6">
        <v>98.57</v>
      </c>
      <c r="E14" s="6">
        <v>96.71</v>
      </c>
      <c r="F14" s="6">
        <v>95.07</v>
      </c>
      <c r="G14" s="6">
        <v>91.62</v>
      </c>
      <c r="H14" s="6">
        <v>90.18</v>
      </c>
      <c r="I14" s="6"/>
      <c r="J14" s="6">
        <v>98.66</v>
      </c>
      <c r="K14" s="6">
        <v>96.77</v>
      </c>
      <c r="L14" s="6">
        <v>94.81</v>
      </c>
      <c r="M14" s="6">
        <v>99.26</v>
      </c>
      <c r="N14" s="6">
        <v>90.56</v>
      </c>
      <c r="O14" s="6"/>
      <c r="P14" s="6">
        <v>98.48</v>
      </c>
      <c r="Q14" s="6">
        <v>96.72</v>
      </c>
      <c r="R14" s="6">
        <v>95.39</v>
      </c>
      <c r="S14" s="6">
        <v>83.84</v>
      </c>
      <c r="T14" s="6">
        <v>89.62</v>
      </c>
      <c r="U14" s="6"/>
      <c r="V14" s="6">
        <v>98.57</v>
      </c>
      <c r="W14" s="6">
        <v>96.75</v>
      </c>
      <c r="X14" s="6">
        <v>95.09</v>
      </c>
      <c r="Y14" s="6">
        <v>90.83</v>
      </c>
      <c r="Z14" s="6">
        <v>90.08</v>
      </c>
    </row>
    <row r="15" spans="1:26" ht="16">
      <c r="A15" s="19" t="s">
        <v>48</v>
      </c>
      <c r="B15" s="19"/>
      <c r="C15" s="7" t="s">
        <v>31</v>
      </c>
      <c r="D15" s="7">
        <v>1.1000000000000001</v>
      </c>
      <c r="E15" s="7">
        <v>2.4500000000000002</v>
      </c>
      <c r="F15" s="7">
        <v>3.03</v>
      </c>
      <c r="G15" s="7">
        <v>2.93</v>
      </c>
      <c r="H15" s="7">
        <v>6.07</v>
      </c>
      <c r="I15" s="7" t="s">
        <v>31</v>
      </c>
      <c r="J15" s="7">
        <v>1.05</v>
      </c>
      <c r="K15" s="7">
        <v>2.2999999999999998</v>
      </c>
      <c r="L15" s="7">
        <v>3.3</v>
      </c>
      <c r="M15" s="7">
        <v>0.9</v>
      </c>
      <c r="N15" s="7">
        <v>5.85</v>
      </c>
      <c r="O15" s="7" t="s">
        <v>31</v>
      </c>
      <c r="P15" s="7">
        <v>1.24</v>
      </c>
      <c r="Q15" s="7">
        <v>2.64</v>
      </c>
      <c r="R15" s="7">
        <v>2.98</v>
      </c>
      <c r="S15" s="7">
        <v>5.36</v>
      </c>
      <c r="T15" s="7">
        <v>6.52</v>
      </c>
      <c r="U15" s="7" t="s">
        <v>31</v>
      </c>
      <c r="V15" s="7">
        <v>1.1000000000000001</v>
      </c>
      <c r="W15" s="7">
        <v>2.4500000000000002</v>
      </c>
      <c r="X15" s="7">
        <v>3.03</v>
      </c>
      <c r="Y15" s="7">
        <v>3.42</v>
      </c>
      <c r="Z15" s="7">
        <v>6.16</v>
      </c>
    </row>
  </sheetData>
  <mergeCells count="10">
    <mergeCell ref="A8:A12"/>
    <mergeCell ref="A13:B13"/>
    <mergeCell ref="A14:B14"/>
    <mergeCell ref="A15:B15"/>
    <mergeCell ref="A1:B2"/>
    <mergeCell ref="D1:H1"/>
    <mergeCell ref="J1:N1"/>
    <mergeCell ref="P1:T1"/>
    <mergeCell ref="V1:Z1"/>
    <mergeCell ref="A3:A7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CF2B-1C99-42E2-88FB-8DDE048EA105}">
  <dimension ref="A1:L14"/>
  <sheetViews>
    <sheetView workbookViewId="0">
      <selection activeCell="A11" sqref="A11"/>
    </sheetView>
  </sheetViews>
  <sheetFormatPr baseColWidth="10" defaultColWidth="8.83203125" defaultRowHeight="15"/>
  <cols>
    <col min="1" max="1" width="24" customWidth="1"/>
    <col min="2" max="2" width="15.83203125" customWidth="1"/>
    <col min="3" max="3" width="18.1640625" customWidth="1"/>
    <col min="5" max="5" width="14.1640625" customWidth="1"/>
    <col min="6" max="6" width="17.33203125" customWidth="1"/>
    <col min="8" max="8" width="17.1640625" customWidth="1"/>
    <col min="9" max="9" width="17" customWidth="1"/>
    <col min="10" max="10" width="8.5" customWidth="1"/>
    <col min="11" max="11" width="14.6640625" customWidth="1"/>
    <col min="12" max="12" width="17.5" customWidth="1"/>
  </cols>
  <sheetData>
    <row r="1" spans="1:12">
      <c r="B1" s="12" t="s">
        <v>1</v>
      </c>
      <c r="C1" s="12"/>
      <c r="E1" s="12" t="s">
        <v>2</v>
      </c>
      <c r="F1" s="12"/>
      <c r="G1" s="2"/>
      <c r="H1" s="12" t="s">
        <v>3</v>
      </c>
      <c r="I1" s="12"/>
      <c r="K1" s="12" t="s">
        <v>4</v>
      </c>
      <c r="L1" s="12"/>
    </row>
    <row r="2" spans="1:12">
      <c r="A2" s="2" t="s">
        <v>5</v>
      </c>
      <c r="B2" s="2" t="s">
        <v>6</v>
      </c>
      <c r="C2" s="2" t="s">
        <v>7</v>
      </c>
      <c r="D2" s="2"/>
      <c r="E2" s="2" t="s">
        <v>6</v>
      </c>
      <c r="F2" s="2" t="s">
        <v>7</v>
      </c>
      <c r="G2" s="2"/>
      <c r="H2" s="2" t="s">
        <v>6</v>
      </c>
      <c r="I2" s="2" t="s">
        <v>7</v>
      </c>
      <c r="J2" s="2"/>
      <c r="K2" s="2" t="s">
        <v>6</v>
      </c>
      <c r="L2" s="2" t="s">
        <v>7</v>
      </c>
    </row>
    <row r="3" spans="1:12">
      <c r="A3" s="2" t="s">
        <v>9</v>
      </c>
      <c r="B3">
        <v>99.62</v>
      </c>
      <c r="C3">
        <v>99.97</v>
      </c>
      <c r="E3">
        <v>99.64</v>
      </c>
      <c r="F3" s="1">
        <v>100</v>
      </c>
      <c r="H3" s="1">
        <v>99.6</v>
      </c>
      <c r="I3">
        <v>99.93</v>
      </c>
      <c r="K3">
        <v>99.62</v>
      </c>
      <c r="L3">
        <v>99.96</v>
      </c>
    </row>
    <row r="4" spans="1:12">
      <c r="A4" s="2" t="s">
        <v>10</v>
      </c>
      <c r="B4">
        <v>96.13</v>
      </c>
      <c r="C4">
        <v>97.48</v>
      </c>
      <c r="E4" s="1">
        <v>96.8</v>
      </c>
      <c r="F4" s="1">
        <v>97.9</v>
      </c>
      <c r="H4" s="1">
        <v>95.41</v>
      </c>
      <c r="I4" s="1">
        <v>97.05</v>
      </c>
      <c r="K4" s="1">
        <v>96.1</v>
      </c>
      <c r="L4">
        <v>97.47</v>
      </c>
    </row>
    <row r="5" spans="1:12">
      <c r="A5" s="2" t="s">
        <v>49</v>
      </c>
      <c r="E5" s="1"/>
      <c r="F5" s="1"/>
      <c r="H5" s="1"/>
      <c r="I5" s="1"/>
      <c r="K5" s="1"/>
    </row>
    <row r="6" spans="1:12">
      <c r="A6" s="2" t="s">
        <v>50</v>
      </c>
      <c r="E6" s="1"/>
      <c r="F6" s="1"/>
      <c r="H6" s="1"/>
      <c r="I6" s="1"/>
      <c r="K6" s="1"/>
    </row>
    <row r="7" spans="1:12">
      <c r="A7" s="2" t="s">
        <v>11</v>
      </c>
      <c r="B7">
        <v>95.87</v>
      </c>
      <c r="C7">
        <v>98.16</v>
      </c>
      <c r="E7" s="1">
        <v>96.6</v>
      </c>
      <c r="F7" s="1">
        <v>96.92</v>
      </c>
      <c r="H7" s="1">
        <v>95.09</v>
      </c>
      <c r="I7" s="1">
        <v>99.47</v>
      </c>
      <c r="K7" s="1">
        <v>95.84</v>
      </c>
      <c r="L7">
        <v>98.18</v>
      </c>
    </row>
    <row r="8" spans="1:12">
      <c r="A8" s="2" t="s">
        <v>12</v>
      </c>
      <c r="B8">
        <v>99.25</v>
      </c>
      <c r="C8" s="1">
        <v>100</v>
      </c>
      <c r="E8" s="1">
        <v>99.41</v>
      </c>
      <c r="F8" s="1">
        <v>100</v>
      </c>
      <c r="H8" s="1">
        <v>99.08</v>
      </c>
      <c r="I8" s="1">
        <v>100</v>
      </c>
      <c r="K8" s="1">
        <v>99.24</v>
      </c>
      <c r="L8" s="1">
        <v>100</v>
      </c>
    </row>
    <row r="9" spans="1:12">
      <c r="A9" s="2" t="s">
        <v>13</v>
      </c>
      <c r="B9">
        <v>99.26</v>
      </c>
      <c r="C9">
        <v>99.97</v>
      </c>
      <c r="E9" s="1">
        <v>99.32</v>
      </c>
      <c r="F9" s="1">
        <v>99.98</v>
      </c>
      <c r="H9" s="1">
        <v>99.2</v>
      </c>
      <c r="I9" s="1">
        <v>99.96</v>
      </c>
      <c r="K9" s="1">
        <v>99.26</v>
      </c>
      <c r="L9">
        <v>99.97</v>
      </c>
    </row>
    <row r="10" spans="1:12">
      <c r="A10" s="2" t="s">
        <v>14</v>
      </c>
      <c r="B10">
        <v>98.12</v>
      </c>
      <c r="C10">
        <v>99.08</v>
      </c>
      <c r="E10" s="1">
        <v>98.32</v>
      </c>
      <c r="F10">
        <v>99.29</v>
      </c>
      <c r="H10" s="1">
        <v>97.92</v>
      </c>
      <c r="I10">
        <v>98.87</v>
      </c>
      <c r="K10" s="1">
        <v>98.12</v>
      </c>
      <c r="L10">
        <v>99.08</v>
      </c>
    </row>
    <row r="11" spans="1:12">
      <c r="A11" s="2" t="s">
        <v>15</v>
      </c>
      <c r="B11">
        <v>97.34</v>
      </c>
      <c r="C11">
        <v>99.02</v>
      </c>
      <c r="E11">
        <v>98.09</v>
      </c>
      <c r="F11">
        <v>98.91</v>
      </c>
      <c r="H11">
        <v>96.57</v>
      </c>
      <c r="I11">
        <v>99.12</v>
      </c>
      <c r="K11">
        <v>97.32</v>
      </c>
      <c r="L11">
        <v>99.01</v>
      </c>
    </row>
    <row r="12" spans="1:12">
      <c r="A12" s="2" t="s">
        <v>16</v>
      </c>
      <c r="B12">
        <v>98.27</v>
      </c>
      <c r="C12">
        <v>99.44</v>
      </c>
      <c r="E12">
        <v>98.47</v>
      </c>
      <c r="F12">
        <v>99.41</v>
      </c>
      <c r="H12">
        <v>98.06</v>
      </c>
      <c r="I12">
        <v>99.47</v>
      </c>
      <c r="K12">
        <v>98.26</v>
      </c>
      <c r="L12">
        <v>99.44</v>
      </c>
    </row>
    <row r="13" spans="1:12">
      <c r="A13" s="2" t="s">
        <v>17</v>
      </c>
      <c r="B13">
        <v>98.81</v>
      </c>
      <c r="C13">
        <v>99.92</v>
      </c>
      <c r="E13">
        <v>99.17</v>
      </c>
      <c r="F13" s="1">
        <v>99.99</v>
      </c>
      <c r="H13">
        <v>98.45</v>
      </c>
      <c r="I13">
        <v>99.86</v>
      </c>
      <c r="K13">
        <v>98.81</v>
      </c>
      <c r="L13">
        <v>99.92</v>
      </c>
    </row>
    <row r="14" spans="1:12">
      <c r="A14" s="2" t="s">
        <v>18</v>
      </c>
      <c r="B14" s="1">
        <f>AVERAGE(B3:B13)</f>
        <v>98.074444444444453</v>
      </c>
      <c r="C14" s="1">
        <f>AVERAGE(C3:C13)</f>
        <v>99.226666666666674</v>
      </c>
      <c r="E14" s="1">
        <f>AVERAGE(E3:E13)</f>
        <v>98.424444444444433</v>
      </c>
      <c r="F14" s="1">
        <f>AVERAGE(F3:F13)</f>
        <v>99.155555555555551</v>
      </c>
      <c r="H14" s="1">
        <f>AVERAGE(H3:H13)</f>
        <v>97.708888888888879</v>
      </c>
      <c r="I14" s="1">
        <f>AVERAGE(I3:I13)</f>
        <v>99.303333333333342</v>
      </c>
      <c r="K14" s="1">
        <f>AVERAGE(K3:K13)</f>
        <v>98.063333333333333</v>
      </c>
      <c r="L14" s="1">
        <f>AVERAGE(L3:L13)</f>
        <v>99.225555555555559</v>
      </c>
    </row>
  </sheetData>
  <mergeCells count="4">
    <mergeCell ref="B1:C1"/>
    <mergeCell ref="E1:F1"/>
    <mergeCell ref="H1:I1"/>
    <mergeCell ref="K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Sheet2</vt:lpstr>
      <vt:lpstr>expr1 raw OPT2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善铭 陈</cp:lastModifiedBy>
  <cp:revision/>
  <dcterms:created xsi:type="dcterms:W3CDTF">2025-10-21T06:46:05Z</dcterms:created>
  <dcterms:modified xsi:type="dcterms:W3CDTF">2026-03-24T08:06:57Z</dcterms:modified>
  <cp:category/>
  <cp:contentStatus/>
</cp:coreProperties>
</file>